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a69250a30cb31e2/ドキュメント/"/>
    </mc:Choice>
  </mc:AlternateContent>
  <xr:revisionPtr revIDLastSave="9" documentId="8_{929B7B7A-5BBD-42ED-92AC-40F73FA73001}" xr6:coauthVersionLast="47" xr6:coauthVersionMax="47" xr10:uidLastSave="{25E88691-70F3-45D1-B0EA-2FBE692D6F7B}"/>
  <bookViews>
    <workbookView xWindow="43095" yWindow="-750" windowWidth="14610" windowHeight="15585" activeTab="1" xr2:uid="{E900F3A7-D749-42E6-9E96-4CF499055249}"/>
  </bookViews>
  <sheets>
    <sheet name="Notes" sheetId="2" r:id="rId1"/>
    <sheet name="Rev Rec Datapoints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2" i="1" l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</calcChain>
</file>

<file path=xl/sharedStrings.xml><?xml version="1.0" encoding="utf-8"?>
<sst xmlns="http://schemas.openxmlformats.org/spreadsheetml/2006/main" count="320" uniqueCount="51">
  <si>
    <t>Contract_ID</t>
  </si>
  <si>
    <t>Customer_Name</t>
  </si>
  <si>
    <t>Signature_Date</t>
  </si>
  <si>
    <t>Start_Date</t>
  </si>
  <si>
    <t>End_Date</t>
  </si>
  <si>
    <t>Currency</t>
  </si>
  <si>
    <t>Total Contract</t>
  </si>
  <si>
    <t>Price</t>
  </si>
  <si>
    <t>PO_Required</t>
  </si>
  <si>
    <t>Product</t>
  </si>
  <si>
    <t>Milestone</t>
  </si>
  <si>
    <t>RevRec_Method</t>
  </si>
  <si>
    <t>Cancellation_Terms</t>
  </si>
  <si>
    <t>Termination_for_Convenience</t>
  </si>
  <si>
    <t>Opt out</t>
  </si>
  <si>
    <t>Contract modification (Y/N)</t>
  </si>
  <si>
    <t>Notes:</t>
  </si>
  <si>
    <t>milestones treat as products</t>
  </si>
  <si>
    <t>Free work (Y/N)</t>
  </si>
  <si>
    <t>Promised future product pricing (Y/N)</t>
  </si>
  <si>
    <t>System Location</t>
  </si>
  <si>
    <t>Hosted/onprem</t>
  </si>
  <si>
    <t>Contract Start Date</t>
  </si>
  <si>
    <t>Contract End Date</t>
  </si>
  <si>
    <t>Order Form No. 2</t>
  </si>
  <si>
    <t>Contract term</t>
  </si>
  <si>
    <t>Subscription Term</t>
  </si>
  <si>
    <t>total annual price</t>
  </si>
  <si>
    <t>EUR</t>
  </si>
  <si>
    <t>Y</t>
  </si>
  <si>
    <t>Product type</t>
  </si>
  <si>
    <t>Compliance management</t>
  </si>
  <si>
    <t>NA</t>
  </si>
  <si>
    <t>Hosted</t>
  </si>
  <si>
    <t>TBD</t>
  </si>
  <si>
    <t>Application</t>
  </si>
  <si>
    <t>N</t>
  </si>
  <si>
    <t>Internal Audit Management</t>
  </si>
  <si>
    <t>Cloud Service</t>
  </si>
  <si>
    <t>Additional Cloud</t>
  </si>
  <si>
    <t>Maintenance &amp; Support</t>
  </si>
  <si>
    <t>Upgrade</t>
  </si>
  <si>
    <t>Payment Terms</t>
  </si>
  <si>
    <t>Invoicing Terms</t>
  </si>
  <si>
    <t>Annual-On signature</t>
  </si>
  <si>
    <t>Annual upfront</t>
  </si>
  <si>
    <t>Renewal Pricing</t>
  </si>
  <si>
    <t>Auto-renewal</t>
  </si>
  <si>
    <t>Renewal Term</t>
  </si>
  <si>
    <t>Salesforce data points vs contract elements.. TBD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</si>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</sst>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5" fontId="0" fillId="0" borderId="0" xfId="1" applyNumberFormat="1" applyFont="1"/>
    <xf numFmtId="14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AD75-D638-4751-B97D-AA852F457C88}">
  <dimension ref="A2:A4"/>
  <sheetViews>
    <sheetView workbookViewId="0">
      <selection activeCell="A5" sqref="A5"/>
    </sheetView>
  </sheetViews>
  <sheetFormatPr defaultRowHeight="14.4" x14ac:dyDescent="0.3"/>
  <sheetData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18B2-7F68-4ABA-A555-CE09BD6BBB8D}">
  <dimension ref="A2:AD22"/>
  <sheetViews>
    <sheetView tabSelected="1" topLeftCell="J1" workbookViewId="0">
      <selection activeCell="D25" sqref="D25"/>
    </sheetView>
  </sheetViews>
  <sheetFormatPr defaultRowHeight="14.4" x14ac:dyDescent="0.3"/>
  <cols>
    <col min="1" max="1" width="18.33203125" customWidth="1"/>
    <col min="2" max="2" width="21.21875" customWidth="1"/>
    <col min="3" max="3" width="14.88671875" bestFit="1" customWidth="1"/>
    <col min="4" max="5" width="14.88671875" customWidth="1"/>
    <col min="6" max="6" width="15.33203125" bestFit="1" customWidth="1"/>
    <col min="7" max="7" width="10.88671875" bestFit="1" customWidth="1"/>
    <col min="8" max="8" width="13.33203125" bestFit="1" customWidth="1"/>
    <col min="9" max="9" width="17.6640625" bestFit="1" customWidth="1"/>
    <col min="10" max="10" width="9.33203125" bestFit="1" customWidth="1"/>
    <col min="11" max="11" width="13.88671875" bestFit="1" customWidth="1"/>
    <col min="12" max="12" width="16.6640625" bestFit="1" customWidth="1"/>
    <col min="13" max="13" width="12.88671875" customWidth="1"/>
    <col min="14" max="14" width="12.6640625" bestFit="1" customWidth="1"/>
    <col min="15" max="15" width="15.77734375" customWidth="1"/>
    <col min="16" max="16" width="25.77734375" customWidth="1"/>
    <col min="17" max="17" width="10" bestFit="1" customWidth="1"/>
    <col min="18" max="18" width="16" bestFit="1" customWidth="1"/>
    <col min="19" max="19" width="15.6640625" bestFit="1" customWidth="1"/>
    <col min="20" max="20" width="19.109375" bestFit="1" customWidth="1"/>
    <col min="21" max="21" width="28.6640625" bestFit="1" customWidth="1"/>
    <col min="22" max="22" width="7.6640625" bestFit="1" customWidth="1"/>
    <col min="23" max="23" width="35.5546875" bestFit="1" customWidth="1"/>
    <col min="24" max="24" width="15" bestFit="1" customWidth="1"/>
    <col min="25" max="25" width="26.44140625" bestFit="1" customWidth="1"/>
    <col min="27" max="27" width="19.5546875" bestFit="1" customWidth="1"/>
    <col min="28" max="28" width="15.44140625" bestFit="1" customWidth="1"/>
  </cols>
  <sheetData>
    <row r="2" spans="1:30" x14ac:dyDescent="0.3">
      <c r="R2" t="s">
        <v>21</v>
      </c>
      <c r="S2" t="s">
        <v>34</v>
      </c>
    </row>
    <row r="3" spans="1:30" x14ac:dyDescent="0.3">
      <c r="A3" s="1" t="s">
        <v>0</v>
      </c>
      <c r="B3" s="1" t="s">
        <v>1</v>
      </c>
      <c r="C3" s="1" t="s">
        <v>2</v>
      </c>
      <c r="D3" s="1" t="s">
        <v>22</v>
      </c>
      <c r="E3" s="1" t="s">
        <v>23</v>
      </c>
      <c r="F3" s="1" t="s">
        <v>3</v>
      </c>
      <c r="G3" s="1" t="s">
        <v>4</v>
      </c>
      <c r="H3" s="1" t="s">
        <v>25</v>
      </c>
      <c r="I3" s="1" t="s">
        <v>26</v>
      </c>
      <c r="J3" s="1" t="s">
        <v>5</v>
      </c>
      <c r="K3" s="1" t="s">
        <v>6</v>
      </c>
      <c r="L3" s="1" t="s">
        <v>27</v>
      </c>
      <c r="M3" s="1" t="s">
        <v>7</v>
      </c>
      <c r="N3" s="1" t="s">
        <v>8</v>
      </c>
      <c r="O3" s="1" t="s">
        <v>30</v>
      </c>
      <c r="P3" s="1" t="s">
        <v>9</v>
      </c>
      <c r="Q3" s="1" t="s">
        <v>10</v>
      </c>
      <c r="R3" s="1" t="s">
        <v>20</v>
      </c>
      <c r="S3" s="1" t="s">
        <v>11</v>
      </c>
      <c r="T3" s="1" t="s">
        <v>12</v>
      </c>
      <c r="U3" s="1" t="s">
        <v>13</v>
      </c>
      <c r="V3" s="1" t="s">
        <v>14</v>
      </c>
      <c r="W3" s="1" t="s">
        <v>19</v>
      </c>
      <c r="X3" s="1" t="s">
        <v>18</v>
      </c>
      <c r="Y3" s="1" t="s">
        <v>15</v>
      </c>
      <c r="Z3" s="1" t="s">
        <v>42</v>
      </c>
      <c r="AA3" s="1" t="s">
        <v>43</v>
      </c>
      <c r="AB3" s="1" t="s">
        <v>46</v>
      </c>
      <c r="AC3" s="1" t="s">
        <v>47</v>
      </c>
      <c r="AD3" s="1" t="s">
        <v>48</v>
      </c>
    </row>
    <row r="4" spans="1:30" x14ac:dyDescent="0.3">
      <c r="A4" t="s">
        <v>24</v>
      </c>
      <c r="B4" t="s">
        <v>50</v>
      </c>
      <c r="C4" s="3">
        <v>46051</v>
      </c>
      <c r="D4" s="3">
        <v>46082</v>
      </c>
      <c r="E4" s="3">
        <v>47177</v>
      </c>
      <c r="F4" s="3">
        <v>46082</v>
      </c>
      <c r="G4" s="3">
        <v>46446</v>
      </c>
      <c r="H4">
        <v>36</v>
      </c>
      <c r="I4">
        <v>12</v>
      </c>
      <c r="J4" t="s">
        <v>28</v>
      </c>
      <c r="K4" s="2">
        <f t="shared" ref="K4:K22" si="0">242380+249652+257142</f>
        <v>749174</v>
      </c>
      <c r="L4" s="2">
        <v>242380</v>
      </c>
      <c r="M4" s="2">
        <v>216176</v>
      </c>
      <c r="N4" t="s">
        <v>29</v>
      </c>
      <c r="O4" t="s">
        <v>35</v>
      </c>
      <c r="P4" t="s">
        <v>31</v>
      </c>
      <c r="Q4" t="s">
        <v>32</v>
      </c>
      <c r="R4" t="s">
        <v>33</v>
      </c>
      <c r="T4">
        <v>90</v>
      </c>
      <c r="U4" t="s">
        <v>36</v>
      </c>
      <c r="V4" t="s">
        <v>36</v>
      </c>
      <c r="W4" t="s">
        <v>36</v>
      </c>
      <c r="X4" t="s">
        <v>29</v>
      </c>
      <c r="Y4" t="s">
        <v>36</v>
      </c>
      <c r="Z4">
        <v>60</v>
      </c>
      <c r="AA4" t="s">
        <v>44</v>
      </c>
      <c r="AB4" s="4">
        <v>0.03</v>
      </c>
      <c r="AC4" t="s">
        <v>29</v>
      </c>
      <c r="AD4">
        <v>12</v>
      </c>
    </row>
    <row r="5" spans="1:30" x14ac:dyDescent="0.3">
      <c r="A5" t="s">
        <v>24</v>
      </c>
      <c r="B5" t="s">
        <v>50</v>
      </c>
      <c r="C5" s="3">
        <v>46051</v>
      </c>
      <c r="D5" s="3">
        <v>46082</v>
      </c>
      <c r="E5" s="3">
        <v>47177</v>
      </c>
      <c r="F5" s="3">
        <v>46082</v>
      </c>
      <c r="G5" s="3">
        <v>46446</v>
      </c>
      <c r="H5">
        <v>36</v>
      </c>
      <c r="I5">
        <v>12</v>
      </c>
      <c r="J5" t="s">
        <v>28</v>
      </c>
      <c r="K5" s="2">
        <f t="shared" si="0"/>
        <v>749174</v>
      </c>
      <c r="L5" s="2">
        <v>242380</v>
      </c>
      <c r="M5" s="2">
        <v>0</v>
      </c>
      <c r="N5" t="s">
        <v>29</v>
      </c>
      <c r="O5" t="s">
        <v>35</v>
      </c>
      <c r="P5" t="s">
        <v>37</v>
      </c>
      <c r="Q5" t="s">
        <v>32</v>
      </c>
      <c r="R5" t="s">
        <v>33</v>
      </c>
      <c r="T5">
        <v>90</v>
      </c>
      <c r="U5" t="s">
        <v>36</v>
      </c>
      <c r="V5" t="s">
        <v>36</v>
      </c>
      <c r="W5" t="s">
        <v>36</v>
      </c>
      <c r="X5" t="s">
        <v>29</v>
      </c>
      <c r="Y5" t="s">
        <v>36</v>
      </c>
      <c r="Z5">
        <v>60</v>
      </c>
      <c r="AA5" t="s">
        <v>44</v>
      </c>
      <c r="AB5" s="4">
        <v>0.03</v>
      </c>
      <c r="AC5" t="s">
        <v>29</v>
      </c>
      <c r="AD5">
        <v>12</v>
      </c>
    </row>
    <row r="6" spans="1:30" x14ac:dyDescent="0.3">
      <c r="A6" t="s">
        <v>24</v>
      </c>
      <c r="B6" t="s">
        <v>50</v>
      </c>
      <c r="C6" s="3">
        <v>46051</v>
      </c>
      <c r="D6" s="3">
        <v>46082</v>
      </c>
      <c r="E6" s="3">
        <v>47177</v>
      </c>
      <c r="F6" s="3">
        <v>46082</v>
      </c>
      <c r="G6" s="3">
        <v>46446</v>
      </c>
      <c r="H6">
        <v>36</v>
      </c>
      <c r="I6">
        <v>12</v>
      </c>
      <c r="J6" t="s">
        <v>28</v>
      </c>
      <c r="K6" s="2">
        <f t="shared" si="0"/>
        <v>749174</v>
      </c>
      <c r="L6" s="2">
        <v>242380</v>
      </c>
      <c r="M6" s="2">
        <v>0</v>
      </c>
      <c r="N6" t="s">
        <v>29</v>
      </c>
      <c r="O6" t="s">
        <v>35</v>
      </c>
      <c r="P6" t="s">
        <v>38</v>
      </c>
      <c r="Q6" t="s">
        <v>32</v>
      </c>
      <c r="R6" t="s">
        <v>33</v>
      </c>
      <c r="T6">
        <v>90</v>
      </c>
      <c r="U6" t="s">
        <v>36</v>
      </c>
      <c r="V6" t="s">
        <v>36</v>
      </c>
      <c r="W6" t="s">
        <v>36</v>
      </c>
      <c r="X6" t="s">
        <v>29</v>
      </c>
      <c r="Y6" t="s">
        <v>36</v>
      </c>
      <c r="Z6">
        <v>60</v>
      </c>
      <c r="AA6" t="s">
        <v>44</v>
      </c>
      <c r="AB6" s="4">
        <v>0.03</v>
      </c>
      <c r="AC6" t="s">
        <v>29</v>
      </c>
      <c r="AD6">
        <v>12</v>
      </c>
    </row>
    <row r="7" spans="1:30" x14ac:dyDescent="0.3">
      <c r="A7" t="s">
        <v>24</v>
      </c>
      <c r="B7" t="s">
        <v>50</v>
      </c>
      <c r="C7" s="3">
        <v>46051</v>
      </c>
      <c r="D7" s="3">
        <v>46082</v>
      </c>
      <c r="E7" s="3">
        <v>47177</v>
      </c>
      <c r="F7" s="3">
        <v>46082</v>
      </c>
      <c r="G7" s="3">
        <v>46446</v>
      </c>
      <c r="H7">
        <v>36</v>
      </c>
      <c r="I7">
        <v>12</v>
      </c>
      <c r="J7" t="s">
        <v>28</v>
      </c>
      <c r="K7" s="2">
        <f t="shared" si="0"/>
        <v>749174</v>
      </c>
      <c r="L7" s="2">
        <v>242380</v>
      </c>
      <c r="M7" s="2">
        <v>13102</v>
      </c>
      <c r="N7" t="s">
        <v>29</v>
      </c>
      <c r="O7" t="s">
        <v>35</v>
      </c>
      <c r="P7" t="s">
        <v>39</v>
      </c>
      <c r="Q7" t="s">
        <v>32</v>
      </c>
      <c r="R7" t="s">
        <v>33</v>
      </c>
      <c r="T7">
        <v>90</v>
      </c>
      <c r="U7" t="s">
        <v>36</v>
      </c>
      <c r="V7" t="s">
        <v>36</v>
      </c>
      <c r="W7" t="s">
        <v>36</v>
      </c>
      <c r="X7" t="s">
        <v>29</v>
      </c>
      <c r="Y7" t="s">
        <v>36</v>
      </c>
      <c r="Z7">
        <v>60</v>
      </c>
      <c r="AA7" t="s">
        <v>44</v>
      </c>
      <c r="AB7" s="4">
        <v>0.03</v>
      </c>
      <c r="AC7" t="s">
        <v>29</v>
      </c>
      <c r="AD7">
        <v>12</v>
      </c>
    </row>
    <row r="8" spans="1:30" x14ac:dyDescent="0.3">
      <c r="A8" t="s">
        <v>24</v>
      </c>
      <c r="B8" t="s">
        <v>50</v>
      </c>
      <c r="C8" s="3">
        <v>46051</v>
      </c>
      <c r="D8" s="3">
        <v>46082</v>
      </c>
      <c r="E8" s="3">
        <v>47177</v>
      </c>
      <c r="F8" s="3">
        <v>46082</v>
      </c>
      <c r="G8" s="3">
        <v>46446</v>
      </c>
      <c r="H8">
        <v>36</v>
      </c>
      <c r="I8">
        <v>12</v>
      </c>
      <c r="J8" t="s">
        <v>28</v>
      </c>
      <c r="K8" s="2">
        <f t="shared" si="0"/>
        <v>749174</v>
      </c>
      <c r="L8" s="2">
        <v>242380</v>
      </c>
      <c r="M8" s="2">
        <v>13102</v>
      </c>
      <c r="N8" t="s">
        <v>29</v>
      </c>
      <c r="O8" t="s">
        <v>35</v>
      </c>
      <c r="P8" t="s">
        <v>39</v>
      </c>
      <c r="Q8" t="s">
        <v>32</v>
      </c>
      <c r="R8" t="s">
        <v>33</v>
      </c>
      <c r="T8">
        <v>90</v>
      </c>
      <c r="U8" t="s">
        <v>36</v>
      </c>
      <c r="V8" t="s">
        <v>36</v>
      </c>
      <c r="W8" t="s">
        <v>36</v>
      </c>
      <c r="X8" t="s">
        <v>29</v>
      </c>
      <c r="Y8" t="s">
        <v>36</v>
      </c>
      <c r="Z8">
        <v>60</v>
      </c>
      <c r="AA8" t="s">
        <v>44</v>
      </c>
      <c r="AB8" s="4">
        <v>0.03</v>
      </c>
      <c r="AC8" t="s">
        <v>29</v>
      </c>
      <c r="AD8">
        <v>12</v>
      </c>
    </row>
    <row r="9" spans="1:30" x14ac:dyDescent="0.3">
      <c r="A9" t="s">
        <v>24</v>
      </c>
      <c r="B9" t="s">
        <v>50</v>
      </c>
      <c r="C9" s="3">
        <v>46051</v>
      </c>
      <c r="D9" s="3">
        <v>46082</v>
      </c>
      <c r="E9" s="3">
        <v>47177</v>
      </c>
      <c r="F9" s="3">
        <v>46082</v>
      </c>
      <c r="G9" s="3">
        <v>46446</v>
      </c>
      <c r="H9">
        <v>36</v>
      </c>
      <c r="I9">
        <v>12</v>
      </c>
      <c r="J9" t="s">
        <v>28</v>
      </c>
      <c r="K9" s="2">
        <f t="shared" si="0"/>
        <v>749174</v>
      </c>
      <c r="L9" s="2">
        <v>242380</v>
      </c>
      <c r="M9" s="2">
        <v>0</v>
      </c>
      <c r="N9" t="s">
        <v>29</v>
      </c>
      <c r="O9" t="s">
        <v>35</v>
      </c>
      <c r="P9" t="s">
        <v>40</v>
      </c>
      <c r="Q9" t="s">
        <v>32</v>
      </c>
      <c r="R9" t="s">
        <v>33</v>
      </c>
      <c r="T9">
        <v>90</v>
      </c>
      <c r="U9" t="s">
        <v>36</v>
      </c>
      <c r="V9" t="s">
        <v>36</v>
      </c>
      <c r="W9" t="s">
        <v>36</v>
      </c>
      <c r="X9" t="s">
        <v>29</v>
      </c>
      <c r="Y9" t="s">
        <v>36</v>
      </c>
      <c r="Z9">
        <v>60</v>
      </c>
      <c r="AA9" t="s">
        <v>44</v>
      </c>
      <c r="AB9" s="4">
        <v>0.03</v>
      </c>
      <c r="AC9" t="s">
        <v>29</v>
      </c>
      <c r="AD9">
        <v>12</v>
      </c>
    </row>
    <row r="10" spans="1:30" x14ac:dyDescent="0.3">
      <c r="A10" t="s">
        <v>24</v>
      </c>
      <c r="B10" t="s">
        <v>50</v>
      </c>
      <c r="C10" s="3">
        <v>46051</v>
      </c>
      <c r="D10" s="3">
        <v>46082</v>
      </c>
      <c r="E10" s="3">
        <v>47177</v>
      </c>
      <c r="F10" s="3">
        <v>46082</v>
      </c>
      <c r="G10" s="3">
        <v>46811</v>
      </c>
      <c r="H10">
        <v>36</v>
      </c>
      <c r="I10">
        <v>24</v>
      </c>
      <c r="J10" t="s">
        <v>28</v>
      </c>
      <c r="K10" s="2">
        <f t="shared" si="0"/>
        <v>749174</v>
      </c>
      <c r="L10" s="2">
        <v>0</v>
      </c>
      <c r="M10" s="2">
        <v>0</v>
      </c>
      <c r="N10" t="s">
        <v>29</v>
      </c>
      <c r="O10" t="s">
        <v>35</v>
      </c>
      <c r="P10" t="s">
        <v>41</v>
      </c>
      <c r="Q10" t="s">
        <v>32</v>
      </c>
      <c r="R10" t="s">
        <v>33</v>
      </c>
      <c r="T10">
        <v>90</v>
      </c>
      <c r="U10" t="s">
        <v>36</v>
      </c>
      <c r="V10" t="s">
        <v>36</v>
      </c>
      <c r="W10" t="s">
        <v>36</v>
      </c>
      <c r="X10" t="s">
        <v>29</v>
      </c>
      <c r="Y10" t="s">
        <v>36</v>
      </c>
      <c r="Z10">
        <v>60</v>
      </c>
      <c r="AA10" t="s">
        <v>45</v>
      </c>
      <c r="AB10" s="4">
        <v>0.03</v>
      </c>
      <c r="AC10" t="s">
        <v>29</v>
      </c>
      <c r="AD10">
        <v>12</v>
      </c>
    </row>
    <row r="11" spans="1:30" x14ac:dyDescent="0.3">
      <c r="A11" t="s">
        <v>24</v>
      </c>
      <c r="B11" t="s">
        <v>50</v>
      </c>
      <c r="C11" s="3">
        <v>46051</v>
      </c>
      <c r="D11" s="3">
        <v>46082</v>
      </c>
      <c r="E11" s="3">
        <v>47177</v>
      </c>
      <c r="F11" s="3">
        <v>46447</v>
      </c>
      <c r="G11" s="3">
        <v>46811</v>
      </c>
      <c r="H11">
        <v>36</v>
      </c>
      <c r="I11">
        <v>12</v>
      </c>
      <c r="J11" t="s">
        <v>28</v>
      </c>
      <c r="K11" s="2">
        <f t="shared" si="0"/>
        <v>749174</v>
      </c>
      <c r="L11" s="2">
        <v>249652</v>
      </c>
      <c r="M11" s="2">
        <v>222662</v>
      </c>
      <c r="N11" t="s">
        <v>29</v>
      </c>
      <c r="O11" t="s">
        <v>35</v>
      </c>
      <c r="P11" t="s">
        <v>31</v>
      </c>
      <c r="Q11" t="s">
        <v>32</v>
      </c>
      <c r="R11" t="s">
        <v>33</v>
      </c>
      <c r="T11">
        <v>90</v>
      </c>
      <c r="U11" t="s">
        <v>36</v>
      </c>
      <c r="V11" t="s">
        <v>36</v>
      </c>
      <c r="W11" t="s">
        <v>36</v>
      </c>
      <c r="X11" t="s">
        <v>29</v>
      </c>
      <c r="Y11" t="s">
        <v>36</v>
      </c>
      <c r="Z11">
        <v>60</v>
      </c>
      <c r="AA11" t="s">
        <v>45</v>
      </c>
      <c r="AB11" s="4">
        <v>0.03</v>
      </c>
      <c r="AC11" t="s">
        <v>29</v>
      </c>
      <c r="AD11">
        <v>12</v>
      </c>
    </row>
    <row r="12" spans="1:30" x14ac:dyDescent="0.3">
      <c r="A12" t="s">
        <v>24</v>
      </c>
      <c r="B12" t="s">
        <v>50</v>
      </c>
      <c r="C12" s="3">
        <v>46051</v>
      </c>
      <c r="D12" s="3">
        <v>46082</v>
      </c>
      <c r="E12" s="3">
        <v>47177</v>
      </c>
      <c r="F12" s="3">
        <v>46447</v>
      </c>
      <c r="G12" s="3">
        <v>46811</v>
      </c>
      <c r="H12">
        <v>36</v>
      </c>
      <c r="I12">
        <v>12</v>
      </c>
      <c r="J12" t="s">
        <v>28</v>
      </c>
      <c r="K12" s="2">
        <f t="shared" si="0"/>
        <v>749174</v>
      </c>
      <c r="L12" s="2">
        <v>249652</v>
      </c>
      <c r="M12" s="2">
        <v>0</v>
      </c>
      <c r="N12" t="s">
        <v>29</v>
      </c>
      <c r="O12" t="s">
        <v>35</v>
      </c>
      <c r="P12" t="s">
        <v>37</v>
      </c>
      <c r="Q12" t="s">
        <v>32</v>
      </c>
      <c r="R12" t="s">
        <v>33</v>
      </c>
      <c r="T12">
        <v>90</v>
      </c>
      <c r="U12" t="s">
        <v>36</v>
      </c>
      <c r="V12" t="s">
        <v>36</v>
      </c>
      <c r="W12" t="s">
        <v>36</v>
      </c>
      <c r="X12" t="s">
        <v>29</v>
      </c>
      <c r="Y12" t="s">
        <v>36</v>
      </c>
      <c r="Z12">
        <v>60</v>
      </c>
      <c r="AA12" t="s">
        <v>45</v>
      </c>
      <c r="AB12" s="4">
        <v>0.03</v>
      </c>
      <c r="AC12" t="s">
        <v>29</v>
      </c>
      <c r="AD12">
        <v>12</v>
      </c>
    </row>
    <row r="13" spans="1:30" x14ac:dyDescent="0.3">
      <c r="A13" t="s">
        <v>24</v>
      </c>
      <c r="B13" t="s">
        <v>50</v>
      </c>
      <c r="C13" s="3">
        <v>46051</v>
      </c>
      <c r="D13" s="3">
        <v>46082</v>
      </c>
      <c r="E13" s="3">
        <v>47177</v>
      </c>
      <c r="F13" s="3">
        <v>46447</v>
      </c>
      <c r="G13" s="3">
        <v>46811</v>
      </c>
      <c r="H13">
        <v>36</v>
      </c>
      <c r="I13">
        <v>12</v>
      </c>
      <c r="J13" t="s">
        <v>28</v>
      </c>
      <c r="K13" s="2">
        <f t="shared" si="0"/>
        <v>749174</v>
      </c>
      <c r="L13" s="2">
        <v>249652</v>
      </c>
      <c r="M13" s="2">
        <v>0</v>
      </c>
      <c r="N13" t="s">
        <v>29</v>
      </c>
      <c r="O13" t="s">
        <v>35</v>
      </c>
      <c r="P13" t="s">
        <v>38</v>
      </c>
      <c r="Q13" t="s">
        <v>32</v>
      </c>
      <c r="R13" t="s">
        <v>33</v>
      </c>
      <c r="T13">
        <v>90</v>
      </c>
      <c r="U13" t="s">
        <v>36</v>
      </c>
      <c r="V13" t="s">
        <v>36</v>
      </c>
      <c r="W13" t="s">
        <v>36</v>
      </c>
      <c r="X13" t="s">
        <v>29</v>
      </c>
      <c r="Y13" t="s">
        <v>36</v>
      </c>
      <c r="Z13">
        <v>60</v>
      </c>
      <c r="AA13" t="s">
        <v>45</v>
      </c>
      <c r="AB13" s="4">
        <v>0.03</v>
      </c>
      <c r="AC13" t="s">
        <v>29</v>
      </c>
      <c r="AD13">
        <v>12</v>
      </c>
    </row>
    <row r="14" spans="1:30" x14ac:dyDescent="0.3">
      <c r="A14" t="s">
        <v>24</v>
      </c>
      <c r="B14" t="s">
        <v>50</v>
      </c>
      <c r="C14" s="3">
        <v>46051</v>
      </c>
      <c r="D14" s="3">
        <v>46082</v>
      </c>
      <c r="E14" s="3">
        <v>47177</v>
      </c>
      <c r="F14" s="3">
        <v>46447</v>
      </c>
      <c r="G14" s="3">
        <v>46811</v>
      </c>
      <c r="H14">
        <v>36</v>
      </c>
      <c r="I14">
        <v>12</v>
      </c>
      <c r="J14" t="s">
        <v>28</v>
      </c>
      <c r="K14" s="2">
        <f t="shared" si="0"/>
        <v>749174</v>
      </c>
      <c r="L14" s="2">
        <v>249652</v>
      </c>
      <c r="M14" s="2">
        <v>13495</v>
      </c>
      <c r="N14" t="s">
        <v>29</v>
      </c>
      <c r="O14" t="s">
        <v>35</v>
      </c>
      <c r="P14" t="s">
        <v>39</v>
      </c>
      <c r="Q14" t="s">
        <v>32</v>
      </c>
      <c r="R14" t="s">
        <v>33</v>
      </c>
      <c r="T14">
        <v>90</v>
      </c>
      <c r="U14" t="s">
        <v>36</v>
      </c>
      <c r="V14" t="s">
        <v>36</v>
      </c>
      <c r="W14" t="s">
        <v>36</v>
      </c>
      <c r="X14" t="s">
        <v>29</v>
      </c>
      <c r="Y14" t="s">
        <v>36</v>
      </c>
      <c r="Z14">
        <v>60</v>
      </c>
      <c r="AA14" t="s">
        <v>45</v>
      </c>
      <c r="AB14" s="4">
        <v>0.03</v>
      </c>
      <c r="AC14" t="s">
        <v>29</v>
      </c>
      <c r="AD14">
        <v>12</v>
      </c>
    </row>
    <row r="15" spans="1:30" x14ac:dyDescent="0.3">
      <c r="A15" t="s">
        <v>24</v>
      </c>
      <c r="B15" t="s">
        <v>50</v>
      </c>
      <c r="C15" s="3">
        <v>46051</v>
      </c>
      <c r="D15" s="3">
        <v>46082</v>
      </c>
      <c r="E15" s="3">
        <v>47177</v>
      </c>
      <c r="F15" s="3">
        <v>46447</v>
      </c>
      <c r="G15" s="3">
        <v>46811</v>
      </c>
      <c r="H15">
        <v>36</v>
      </c>
      <c r="I15">
        <v>12</v>
      </c>
      <c r="J15" t="s">
        <v>28</v>
      </c>
      <c r="K15" s="2">
        <f t="shared" si="0"/>
        <v>749174</v>
      </c>
      <c r="L15" s="2">
        <v>249652</v>
      </c>
      <c r="M15" s="2">
        <v>13495</v>
      </c>
      <c r="N15" t="s">
        <v>29</v>
      </c>
      <c r="O15" t="s">
        <v>35</v>
      </c>
      <c r="P15" t="s">
        <v>39</v>
      </c>
      <c r="Q15" t="s">
        <v>32</v>
      </c>
      <c r="R15" t="s">
        <v>33</v>
      </c>
      <c r="T15">
        <v>90</v>
      </c>
      <c r="U15" t="s">
        <v>36</v>
      </c>
      <c r="V15" t="s">
        <v>36</v>
      </c>
      <c r="W15" t="s">
        <v>36</v>
      </c>
      <c r="X15" t="s">
        <v>29</v>
      </c>
      <c r="Y15" t="s">
        <v>36</v>
      </c>
      <c r="Z15">
        <v>60</v>
      </c>
      <c r="AA15" t="s">
        <v>45</v>
      </c>
      <c r="AB15" s="4">
        <v>0.03</v>
      </c>
      <c r="AC15" t="s">
        <v>29</v>
      </c>
      <c r="AD15">
        <v>12</v>
      </c>
    </row>
    <row r="16" spans="1:30" x14ac:dyDescent="0.3">
      <c r="A16" t="s">
        <v>24</v>
      </c>
      <c r="B16" t="s">
        <v>50</v>
      </c>
      <c r="C16" s="3">
        <v>46051</v>
      </c>
      <c r="D16" s="3">
        <v>46082</v>
      </c>
      <c r="E16" s="3">
        <v>47177</v>
      </c>
      <c r="F16" s="3">
        <v>46447</v>
      </c>
      <c r="G16" s="3">
        <v>46811</v>
      </c>
      <c r="H16">
        <v>36</v>
      </c>
      <c r="I16">
        <v>12</v>
      </c>
      <c r="J16" t="s">
        <v>28</v>
      </c>
      <c r="K16" s="2">
        <f t="shared" si="0"/>
        <v>749174</v>
      </c>
      <c r="L16" s="2">
        <v>249652</v>
      </c>
      <c r="M16" s="2">
        <v>0</v>
      </c>
      <c r="N16" t="s">
        <v>29</v>
      </c>
      <c r="O16" t="s">
        <v>35</v>
      </c>
      <c r="P16" t="s">
        <v>40</v>
      </c>
      <c r="Q16" t="s">
        <v>32</v>
      </c>
      <c r="R16" t="s">
        <v>33</v>
      </c>
      <c r="T16">
        <v>90</v>
      </c>
      <c r="U16" t="s">
        <v>36</v>
      </c>
      <c r="V16" t="s">
        <v>36</v>
      </c>
      <c r="W16" t="s">
        <v>36</v>
      </c>
      <c r="X16" t="s">
        <v>29</v>
      </c>
      <c r="Y16" t="s">
        <v>36</v>
      </c>
      <c r="Z16">
        <v>60</v>
      </c>
      <c r="AA16" t="s">
        <v>45</v>
      </c>
      <c r="AB16" s="4">
        <v>0.03</v>
      </c>
      <c r="AC16" t="s">
        <v>29</v>
      </c>
      <c r="AD16">
        <v>12</v>
      </c>
    </row>
    <row r="17" spans="1:30" x14ac:dyDescent="0.3">
      <c r="A17" t="s">
        <v>24</v>
      </c>
      <c r="B17" t="s">
        <v>50</v>
      </c>
      <c r="C17" s="3">
        <v>46051</v>
      </c>
      <c r="D17" s="3">
        <v>46082</v>
      </c>
      <c r="E17" s="3">
        <v>47177</v>
      </c>
      <c r="F17" s="3">
        <v>46813</v>
      </c>
      <c r="G17" s="3">
        <v>47177</v>
      </c>
      <c r="H17">
        <v>36</v>
      </c>
      <c r="I17">
        <v>12</v>
      </c>
      <c r="J17" t="s">
        <v>28</v>
      </c>
      <c r="K17" s="2">
        <f t="shared" si="0"/>
        <v>749174</v>
      </c>
      <c r="L17" s="2">
        <v>257142</v>
      </c>
      <c r="M17" s="2">
        <v>229342</v>
      </c>
      <c r="N17" t="s">
        <v>29</v>
      </c>
      <c r="O17" t="s">
        <v>35</v>
      </c>
      <c r="P17" t="s">
        <v>31</v>
      </c>
      <c r="Q17" t="s">
        <v>32</v>
      </c>
      <c r="R17" t="s">
        <v>33</v>
      </c>
      <c r="T17">
        <v>90</v>
      </c>
      <c r="U17" t="s">
        <v>36</v>
      </c>
      <c r="V17" t="s">
        <v>29</v>
      </c>
      <c r="W17" t="s">
        <v>36</v>
      </c>
      <c r="X17" t="s">
        <v>36</v>
      </c>
      <c r="Y17" t="s">
        <v>36</v>
      </c>
      <c r="Z17">
        <v>60</v>
      </c>
      <c r="AA17" t="s">
        <v>45</v>
      </c>
      <c r="AB17" s="4">
        <v>0.03</v>
      </c>
      <c r="AC17" t="s">
        <v>29</v>
      </c>
      <c r="AD17">
        <v>12</v>
      </c>
    </row>
    <row r="18" spans="1:30" x14ac:dyDescent="0.3">
      <c r="A18" t="s">
        <v>24</v>
      </c>
      <c r="B18" t="s">
        <v>50</v>
      </c>
      <c r="C18" s="3">
        <v>46051</v>
      </c>
      <c r="D18" s="3">
        <v>46082</v>
      </c>
      <c r="E18" s="3">
        <v>47177</v>
      </c>
      <c r="F18" s="3">
        <v>46813</v>
      </c>
      <c r="G18" s="3">
        <v>47177</v>
      </c>
      <c r="H18">
        <v>36</v>
      </c>
      <c r="I18">
        <v>12</v>
      </c>
      <c r="J18" t="s">
        <v>28</v>
      </c>
      <c r="K18" s="2">
        <f t="shared" si="0"/>
        <v>749174</v>
      </c>
      <c r="L18" s="2">
        <v>257142</v>
      </c>
      <c r="M18" s="2">
        <v>0</v>
      </c>
      <c r="N18" t="s">
        <v>29</v>
      </c>
      <c r="O18" t="s">
        <v>35</v>
      </c>
      <c r="P18" t="s">
        <v>37</v>
      </c>
      <c r="Q18" t="s">
        <v>32</v>
      </c>
      <c r="R18" t="s">
        <v>33</v>
      </c>
      <c r="T18">
        <v>90</v>
      </c>
      <c r="U18" t="s">
        <v>36</v>
      </c>
      <c r="V18" t="s">
        <v>29</v>
      </c>
      <c r="W18" t="s">
        <v>36</v>
      </c>
      <c r="X18" t="s">
        <v>36</v>
      </c>
      <c r="Y18" t="s">
        <v>36</v>
      </c>
      <c r="Z18">
        <v>60</v>
      </c>
      <c r="AA18" t="s">
        <v>45</v>
      </c>
      <c r="AB18" s="4">
        <v>0.03</v>
      </c>
      <c r="AC18" t="s">
        <v>29</v>
      </c>
      <c r="AD18">
        <v>12</v>
      </c>
    </row>
    <row r="19" spans="1:30" x14ac:dyDescent="0.3">
      <c r="A19" t="s">
        <v>24</v>
      </c>
      <c r="B19" t="s">
        <v>50</v>
      </c>
      <c r="C19" s="3">
        <v>46051</v>
      </c>
      <c r="D19" s="3">
        <v>46082</v>
      </c>
      <c r="E19" s="3">
        <v>47177</v>
      </c>
      <c r="F19" s="3">
        <v>46813</v>
      </c>
      <c r="G19" s="3">
        <v>47177</v>
      </c>
      <c r="H19">
        <v>36</v>
      </c>
      <c r="I19">
        <v>12</v>
      </c>
      <c r="J19" t="s">
        <v>28</v>
      </c>
      <c r="K19" s="2">
        <f t="shared" si="0"/>
        <v>749174</v>
      </c>
      <c r="L19" s="2">
        <v>257142</v>
      </c>
      <c r="M19" s="2">
        <v>0</v>
      </c>
      <c r="N19" t="s">
        <v>29</v>
      </c>
      <c r="O19" t="s">
        <v>35</v>
      </c>
      <c r="P19" t="s">
        <v>38</v>
      </c>
      <c r="Q19" t="s">
        <v>32</v>
      </c>
      <c r="R19" t="s">
        <v>33</v>
      </c>
      <c r="T19">
        <v>90</v>
      </c>
      <c r="U19" t="s">
        <v>36</v>
      </c>
      <c r="V19" t="s">
        <v>29</v>
      </c>
      <c r="W19" t="s">
        <v>36</v>
      </c>
      <c r="X19" t="s">
        <v>36</v>
      </c>
      <c r="Y19" t="s">
        <v>36</v>
      </c>
      <c r="Z19">
        <v>60</v>
      </c>
      <c r="AA19" t="s">
        <v>45</v>
      </c>
      <c r="AB19" s="4">
        <v>0.03</v>
      </c>
      <c r="AC19" t="s">
        <v>29</v>
      </c>
      <c r="AD19">
        <v>12</v>
      </c>
    </row>
    <row r="20" spans="1:30" x14ac:dyDescent="0.3">
      <c r="A20" t="s">
        <v>24</v>
      </c>
      <c r="B20" t="s">
        <v>50</v>
      </c>
      <c r="C20" s="3">
        <v>46051</v>
      </c>
      <c r="D20" s="3">
        <v>46082</v>
      </c>
      <c r="E20" s="3">
        <v>47177</v>
      </c>
      <c r="F20" s="3">
        <v>46813</v>
      </c>
      <c r="G20" s="3">
        <v>47177</v>
      </c>
      <c r="H20">
        <v>36</v>
      </c>
      <c r="I20">
        <v>12</v>
      </c>
      <c r="J20" t="s">
        <v>28</v>
      </c>
      <c r="K20" s="2">
        <f t="shared" si="0"/>
        <v>749174</v>
      </c>
      <c r="L20" s="2">
        <v>257142</v>
      </c>
      <c r="M20" s="2">
        <v>13900</v>
      </c>
      <c r="N20" t="s">
        <v>29</v>
      </c>
      <c r="O20" t="s">
        <v>35</v>
      </c>
      <c r="P20" t="s">
        <v>39</v>
      </c>
      <c r="Q20" t="s">
        <v>32</v>
      </c>
      <c r="R20" t="s">
        <v>33</v>
      </c>
      <c r="T20">
        <v>90</v>
      </c>
      <c r="U20" t="s">
        <v>36</v>
      </c>
      <c r="V20" t="s">
        <v>29</v>
      </c>
      <c r="W20" t="s">
        <v>36</v>
      </c>
      <c r="X20" t="s">
        <v>36</v>
      </c>
      <c r="Y20" t="s">
        <v>36</v>
      </c>
      <c r="Z20">
        <v>60</v>
      </c>
      <c r="AA20" t="s">
        <v>45</v>
      </c>
      <c r="AB20" s="4">
        <v>0.03</v>
      </c>
      <c r="AC20" t="s">
        <v>29</v>
      </c>
      <c r="AD20">
        <v>12</v>
      </c>
    </row>
    <row r="21" spans="1:30" x14ac:dyDescent="0.3">
      <c r="A21" t="s">
        <v>24</v>
      </c>
      <c r="B21" t="s">
        <v>50</v>
      </c>
      <c r="C21" s="3">
        <v>46051</v>
      </c>
      <c r="D21" s="3">
        <v>46082</v>
      </c>
      <c r="E21" s="3">
        <v>47177</v>
      </c>
      <c r="F21" s="3">
        <v>46813</v>
      </c>
      <c r="G21" s="3">
        <v>47177</v>
      </c>
      <c r="H21">
        <v>36</v>
      </c>
      <c r="I21">
        <v>12</v>
      </c>
      <c r="J21" t="s">
        <v>28</v>
      </c>
      <c r="K21" s="2">
        <f t="shared" si="0"/>
        <v>749174</v>
      </c>
      <c r="L21" s="2">
        <v>257142</v>
      </c>
      <c r="M21" s="2">
        <v>13900</v>
      </c>
      <c r="N21" t="s">
        <v>29</v>
      </c>
      <c r="O21" t="s">
        <v>35</v>
      </c>
      <c r="P21" t="s">
        <v>39</v>
      </c>
      <c r="Q21" t="s">
        <v>32</v>
      </c>
      <c r="R21" t="s">
        <v>33</v>
      </c>
      <c r="T21">
        <v>90</v>
      </c>
      <c r="U21" t="s">
        <v>36</v>
      </c>
      <c r="V21" t="s">
        <v>29</v>
      </c>
      <c r="W21" t="s">
        <v>36</v>
      </c>
      <c r="X21" t="s">
        <v>36</v>
      </c>
      <c r="Y21" t="s">
        <v>36</v>
      </c>
      <c r="Z21">
        <v>60</v>
      </c>
      <c r="AA21" t="s">
        <v>45</v>
      </c>
      <c r="AB21" s="4">
        <v>0.03</v>
      </c>
      <c r="AC21" t="s">
        <v>29</v>
      </c>
      <c r="AD21">
        <v>12</v>
      </c>
    </row>
    <row r="22" spans="1:30" x14ac:dyDescent="0.3">
      <c r="A22" t="s">
        <v>24</v>
      </c>
      <c r="B22" t="s">
        <v>50</v>
      </c>
      <c r="C22" s="3">
        <v>46051</v>
      </c>
      <c r="D22" s="3">
        <v>46082</v>
      </c>
      <c r="E22" s="3">
        <v>47177</v>
      </c>
      <c r="F22" s="3">
        <v>46813</v>
      </c>
      <c r="G22" s="3">
        <v>47177</v>
      </c>
      <c r="H22">
        <v>36</v>
      </c>
      <c r="I22">
        <v>12</v>
      </c>
      <c r="J22" t="s">
        <v>28</v>
      </c>
      <c r="K22" s="2">
        <f t="shared" si="0"/>
        <v>749174</v>
      </c>
      <c r="L22" s="2">
        <v>257142</v>
      </c>
      <c r="M22" s="2">
        <v>0</v>
      </c>
      <c r="N22" t="s">
        <v>29</v>
      </c>
      <c r="O22" t="s">
        <v>35</v>
      </c>
      <c r="P22" t="s">
        <v>40</v>
      </c>
      <c r="Q22" t="s">
        <v>32</v>
      </c>
      <c r="R22" t="s">
        <v>33</v>
      </c>
      <c r="T22">
        <v>90</v>
      </c>
      <c r="U22" t="s">
        <v>36</v>
      </c>
      <c r="V22" t="s">
        <v>29</v>
      </c>
      <c r="W22" t="s">
        <v>36</v>
      </c>
      <c r="X22" t="s">
        <v>36</v>
      </c>
      <c r="Y22" t="s">
        <v>36</v>
      </c>
      <c r="Z22">
        <v>60</v>
      </c>
      <c r="AA22" t="s">
        <v>45</v>
      </c>
      <c r="AB22" s="4">
        <v>0.03</v>
      </c>
      <c r="AC22" t="s">
        <v>29</v>
      </c>
      <c r="AD2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Rev Rec Datapoints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Herold</dc:creator>
  <cp:lastModifiedBy>Sanjyot Sathe</cp:lastModifiedBy>
  <dcterms:created xsi:type="dcterms:W3CDTF">2026-03-11T22:44:25Z</dcterms:created>
  <dcterms:modified xsi:type="dcterms:W3CDTF">2026-03-17T03:24:27Z</dcterms:modified>
</cp:coreProperties>
</file>